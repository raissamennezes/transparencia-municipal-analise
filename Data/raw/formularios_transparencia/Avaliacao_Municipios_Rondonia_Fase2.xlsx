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Mestrado em Governança e Transformação digital\Análise de Dados\Coleta de dados\"/>
    </mc:Choice>
  </mc:AlternateContent>
  <xr:revisionPtr revIDLastSave="0" documentId="8_{BC4170B5-39BD-4D70-8C16-BAE80C5299CB}" xr6:coauthVersionLast="47" xr6:coauthVersionMax="47" xr10:uidLastSave="{00000000-0000-0000-0000-000000000000}"/>
  <bookViews>
    <workbookView xWindow="5370" yWindow="5370" windowWidth="38700" windowHeight="15345" activeTab="1" xr2:uid="{00000000-000D-0000-FFFF-FFFF00000000}"/>
  </bookViews>
  <sheets>
    <sheet name="Identificacao" sheetId="1" r:id="rId1"/>
    <sheet name="Matriz_44_Pontos" sheetId="2" r:id="rId2"/>
    <sheet name="Resultados_IMAD" sheetId="3" r:id="rId3"/>
    <sheet name="Evidenc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C13" i="3" s="1"/>
  <c r="D13" i="3" s="1"/>
  <c r="B12" i="3"/>
  <c r="C12" i="3" s="1"/>
  <c r="D12" i="3" s="1"/>
  <c r="B11" i="3"/>
  <c r="C11" i="3" s="1"/>
  <c r="D11" i="3" s="1"/>
  <c r="B10" i="3"/>
  <c r="C10" i="3" s="1"/>
  <c r="D10" i="3" s="1"/>
  <c r="B9" i="3"/>
  <c r="C9" i="3" s="1"/>
  <c r="D9" i="3" s="1"/>
  <c r="C8" i="3"/>
  <c r="D8" i="3" s="1"/>
  <c r="B8" i="3"/>
  <c r="B7" i="3"/>
  <c r="C7" i="3" s="1"/>
  <c r="D7" i="3" s="1"/>
  <c r="C6" i="3"/>
  <c r="D6" i="3" s="1"/>
  <c r="B6" i="3"/>
  <c r="B5" i="3"/>
  <c r="C5" i="3" s="1"/>
  <c r="D5" i="3" s="1"/>
  <c r="B4" i="3"/>
  <c r="C4" i="3" s="1"/>
  <c r="D4" i="3" s="1"/>
  <c r="B3" i="3"/>
  <c r="C3" i="3" s="1"/>
  <c r="D3" i="3" s="1"/>
  <c r="B2" i="3"/>
  <c r="C2" i="3" s="1"/>
  <c r="D2" i="3" s="1"/>
</calcChain>
</file>

<file path=xl/sharedStrings.xml><?xml version="1.0" encoding="utf-8"?>
<sst xmlns="http://schemas.openxmlformats.org/spreadsheetml/2006/main" count="166" uniqueCount="128">
  <si>
    <t>ID</t>
  </si>
  <si>
    <t>Município</t>
  </si>
  <si>
    <t>Região</t>
  </si>
  <si>
    <t>Porte Populacional</t>
  </si>
  <si>
    <t>Link do Portal</t>
  </si>
  <si>
    <t>Última Atualização dos Dados</t>
  </si>
  <si>
    <t>Coletor(a)</t>
  </si>
  <si>
    <t>Data da Avaliação</t>
  </si>
  <si>
    <t>Nº</t>
  </si>
  <si>
    <t>Dimensão</t>
  </si>
  <si>
    <t>Subcritério de Avaliação</t>
  </si>
  <si>
    <t>Descrição</t>
  </si>
  <si>
    <t>Município 1</t>
  </si>
  <si>
    <t>Município 2</t>
  </si>
  <si>
    <t>Município 3</t>
  </si>
  <si>
    <t>Município 4</t>
  </si>
  <si>
    <t>Município 5</t>
  </si>
  <si>
    <t>Município 6</t>
  </si>
  <si>
    <t>Município 7</t>
  </si>
  <si>
    <t>Município 8</t>
  </si>
  <si>
    <t>Município 9</t>
  </si>
  <si>
    <t>Município 10</t>
  </si>
  <si>
    <t>Município 11</t>
  </si>
  <si>
    <t>Município 12</t>
  </si>
  <si>
    <t>Acesso e Disponibilidade</t>
  </si>
  <si>
    <t>Acesso público</t>
  </si>
  <si>
    <t>Dados disponíveis sem autenticação ou login</t>
  </si>
  <si>
    <t>Link funcional</t>
  </si>
  <si>
    <t>Links de download acessíveis e atualizados</t>
  </si>
  <si>
    <t>Download direto</t>
  </si>
  <si>
    <t>Permite download direto sem captcha</t>
  </si>
  <si>
    <t>Transparência ativa</t>
  </si>
  <si>
    <t>Publicação sem necessidade de solicitação</t>
  </si>
  <si>
    <t>Dados históricos</t>
  </si>
  <si>
    <t>Disponibiliza anos anteriores</t>
  </si>
  <si>
    <t>Clareza da origem</t>
  </si>
  <si>
    <t>Identifica órgão responsável e fonte dos dados</t>
  </si>
  <si>
    <t>Formato e Estrutura</t>
  </si>
  <si>
    <t>Formato aberto</t>
  </si>
  <si>
    <t>Dados em CSV, JSON, XML ou RDF</t>
  </si>
  <si>
    <t>Estrutura tabular</t>
  </si>
  <si>
    <t>Colunas e dados padronizados</t>
  </si>
  <si>
    <t>Identificadores únicos</t>
  </si>
  <si>
    <t>Presença de chaves de identificação</t>
  </si>
  <si>
    <t>Separadores consistentes</t>
  </si>
  <si>
    <t>Uso consistente de delimitadores</t>
  </si>
  <si>
    <t>Codificação padrão</t>
  </si>
  <si>
    <t>UTF-8 ou outro padrão interoperável</t>
  </si>
  <si>
    <t>Documentação do formato</t>
  </si>
  <si>
    <t>Indicação de formato e estrutura em metadados</t>
  </si>
  <si>
    <t>Metadados e Documentação</t>
  </si>
  <si>
    <t>Dicionário de dados</t>
  </si>
  <si>
    <t>Descrição dos campos e atributos</t>
  </si>
  <si>
    <t>Metadados DCAT/DCAT-BR</t>
  </si>
  <si>
    <t>Vocabulário padronizado utilizado</t>
  </si>
  <si>
    <t>Responsável pelo conjunto</t>
  </si>
  <si>
    <t>Indicação de setor ou contato técnico</t>
  </si>
  <si>
    <t>Data de publicação</t>
  </si>
  <si>
    <t>Campo de data de última atualização</t>
  </si>
  <si>
    <t>Licença de uso</t>
  </si>
  <si>
    <t>Licença aberta (CC BY, CC0)</t>
  </si>
  <si>
    <t>Frequência e Atualização</t>
  </si>
  <si>
    <t>Atualização periódica</t>
  </si>
  <si>
    <t>Periodicidade informada e regular</t>
  </si>
  <si>
    <t>Última atualização informada</t>
  </si>
  <si>
    <t>Campo atualizado e verificável</t>
  </si>
  <si>
    <t>Histórico de revisões</t>
  </si>
  <si>
    <t>Indicação de versões anteriores</t>
  </si>
  <si>
    <t>Atualização tempestiva</t>
  </si>
  <si>
    <t>Cumpre prazos da LC 131/2009</t>
  </si>
  <si>
    <t>Interoperabilidade e Reuso</t>
  </si>
  <si>
    <t>API pública</t>
  </si>
  <si>
    <t>Endpoint REST, OData, SPARQL ou similar</t>
  </si>
  <si>
    <t>Padrões de dados</t>
  </si>
  <si>
    <t>Segue OCDS, DCAT-BR, JSON-LD etc.</t>
  </si>
  <si>
    <t>Vocabulários controlados</t>
  </si>
  <si>
    <t>Uso de classificadores padronizados</t>
  </si>
  <si>
    <t>Identificadores reutilizáveis</t>
  </si>
  <si>
    <t>Campos integráveis com outras bases</t>
  </si>
  <si>
    <t>Reuso declarado</t>
  </si>
  <si>
    <t>Portal incentiva reuso dos dados</t>
  </si>
  <si>
    <t>Linkagem semântica</t>
  </si>
  <si>
    <t>Dados interligam conjuntos distintos</t>
  </si>
  <si>
    <t>Conformidade Legal e Transparência</t>
  </si>
  <si>
    <t>Cumprimento da LAI</t>
  </si>
  <si>
    <t>Atende requisitos da Lei 12.527/2011</t>
  </si>
  <si>
    <t>Cumprimento da LC 131</t>
  </si>
  <si>
    <t>Publica execução orçamentária e financeira</t>
  </si>
  <si>
    <t>Detalhamento da despesa</t>
  </si>
  <si>
    <t>Disponibiliza empenho/liquidação/pagamento</t>
  </si>
  <si>
    <t>Controle social</t>
  </si>
  <si>
    <t>Canal de denúncia ou contato público</t>
  </si>
  <si>
    <t>Evidências de conformidade</t>
  </si>
  <si>
    <t>Cita legislação ou normativos aplicáveis</t>
  </si>
  <si>
    <t>Acessibilidade e Usabilidade</t>
  </si>
  <si>
    <t>Interface responsiva</t>
  </si>
  <si>
    <t>Acesso via desktop e mobile</t>
  </si>
  <si>
    <t>Buscas e filtros</t>
  </si>
  <si>
    <t>Permite pesquisa por período, tipo de despesa, órgão</t>
  </si>
  <si>
    <t>Visualização interativa</t>
  </si>
  <si>
    <t>Gráficos ou tabelas dinâmicas</t>
  </si>
  <si>
    <t>Tempo de carregamento</t>
  </si>
  <si>
    <t>Portal acessível e rápido</t>
  </si>
  <si>
    <t>Acessibilidade digital</t>
  </si>
  <si>
    <t>Cumpre padrões W3C (alt text, contraste)</t>
  </si>
  <si>
    <t>Exportação múltipla</t>
  </si>
  <si>
    <t>Permite exportar em CSV/XLS/JSON</t>
  </si>
  <si>
    <t>Sustentabilidade e Governança</t>
  </si>
  <si>
    <t>Política de dados abertos</t>
  </si>
  <si>
    <t>Documento institucional formalizado</t>
  </si>
  <si>
    <t>Plano de dados abertos</t>
  </si>
  <si>
    <t>Plano publicado e atualizado</t>
  </si>
  <si>
    <t>Gestão de qualidade de dados</t>
  </si>
  <si>
    <t>Procedimentos documentados</t>
  </si>
  <si>
    <t>Infraestrutura tecnológica</t>
  </si>
  <si>
    <t>Ambiente estável e seguro</t>
  </si>
  <si>
    <t>Canal de comunicação</t>
  </si>
  <si>
    <t>Contato institucional ativo</t>
  </si>
  <si>
    <t>Manutenção contínua</t>
  </si>
  <si>
    <t>Evidência de atualização permanente</t>
  </si>
  <si>
    <t>Total de Pontos (máx. 220)</t>
  </si>
  <si>
    <t>IMAD (%)</t>
  </si>
  <si>
    <t>Nível de Maturidade</t>
  </si>
  <si>
    <t>Observações</t>
  </si>
  <si>
    <t>Evidência (print/link)</t>
  </si>
  <si>
    <t>Observações Técnicas</t>
  </si>
  <si>
    <t>Boas Práticas</t>
  </si>
  <si>
    <t>Limitações Identificadas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</si>
</sst>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defaultRowHeight="15" x14ac:dyDescent="0.25"/>
  <cols>
    <col min="1" max="1" width="2.85546875" bestFit="1" customWidth="1"/>
    <col min="3" max="3" width="7" bestFit="1" customWidth="1"/>
    <col min="4" max="4" width="18" bestFit="1" customWidth="1"/>
    <col min="5" max="5" width="13.140625" bestFit="1" customWidth="1"/>
    <col min="6" max="6" width="27.5703125" bestFit="1" customWidth="1"/>
    <col min="7" max="7" width="10" bestFit="1" customWidth="1"/>
    <col min="8" max="8" width="16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2">
    <dataValidation type="list" allowBlank="1" showInputMessage="1" showErrorMessage="1" sqref="C2:C20" xr:uid="{00000000-0002-0000-0000-000000000000}">
      <formula1>"Norte,Central,Sul,Guaporé,Jamari"</formula1>
    </dataValidation>
    <dataValidation type="list" allowBlank="1" showInputMessage="1" showErrorMessage="1" sqref="D2:D20" xr:uid="{00000000-0002-0000-0000-000001000000}">
      <formula1>"Pequeno,Médio,Grande"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tabSelected="1" workbookViewId="0">
      <selection activeCell="C14" sqref="C14:C18"/>
    </sheetView>
  </sheetViews>
  <sheetFormatPr defaultRowHeight="15" x14ac:dyDescent="0.25"/>
  <cols>
    <col min="2" max="2" width="33.85546875" bestFit="1" customWidth="1"/>
    <col min="3" max="3" width="28.140625" bestFit="1" customWidth="1"/>
    <col min="4" max="4" width="49.42578125" bestFit="1" customWidth="1"/>
    <col min="5" max="8" width="11.42578125" bestFit="1" customWidth="1"/>
    <col min="16" max="16" width="12.42578125" bestFit="1" customWidth="1"/>
  </cols>
  <sheetData>
    <row r="1" spans="1:1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x14ac:dyDescent="0.25">
      <c r="A2">
        <v>1</v>
      </c>
      <c r="B2" t="s">
        <v>24</v>
      </c>
      <c r="C2" t="s">
        <v>25</v>
      </c>
      <c r="D2" t="s">
        <v>26</v>
      </c>
    </row>
    <row r="3" spans="1:16" x14ac:dyDescent="0.25">
      <c r="A3">
        <v>2</v>
      </c>
      <c r="B3" t="s">
        <v>24</v>
      </c>
      <c r="C3" t="s">
        <v>27</v>
      </c>
      <c r="D3" t="s">
        <v>28</v>
      </c>
    </row>
    <row r="4" spans="1:16" x14ac:dyDescent="0.25">
      <c r="A4">
        <v>3</v>
      </c>
      <c r="B4" t="s">
        <v>24</v>
      </c>
      <c r="C4" t="s">
        <v>29</v>
      </c>
      <c r="D4" t="s">
        <v>30</v>
      </c>
    </row>
    <row r="5" spans="1:16" x14ac:dyDescent="0.25">
      <c r="A5">
        <v>4</v>
      </c>
      <c r="B5" t="s">
        <v>24</v>
      </c>
      <c r="C5" t="s">
        <v>31</v>
      </c>
      <c r="D5" t="s">
        <v>32</v>
      </c>
    </row>
    <row r="6" spans="1:16" x14ac:dyDescent="0.25">
      <c r="A6">
        <v>5</v>
      </c>
      <c r="B6" t="s">
        <v>24</v>
      </c>
      <c r="C6" t="s">
        <v>33</v>
      </c>
      <c r="D6" t="s">
        <v>34</v>
      </c>
    </row>
    <row r="7" spans="1:16" x14ac:dyDescent="0.25">
      <c r="A7">
        <v>6</v>
      </c>
      <c r="B7" t="s">
        <v>24</v>
      </c>
      <c r="C7" t="s">
        <v>35</v>
      </c>
      <c r="D7" t="s">
        <v>36</v>
      </c>
    </row>
    <row r="8" spans="1:16" x14ac:dyDescent="0.25">
      <c r="A8">
        <v>7</v>
      </c>
      <c r="B8" t="s">
        <v>37</v>
      </c>
      <c r="C8" t="s">
        <v>38</v>
      </c>
      <c r="D8" t="s">
        <v>39</v>
      </c>
    </row>
    <row r="9" spans="1:16" x14ac:dyDescent="0.25">
      <c r="A9">
        <v>8</v>
      </c>
      <c r="B9" t="s">
        <v>37</v>
      </c>
      <c r="C9" t="s">
        <v>40</v>
      </c>
      <c r="D9" t="s">
        <v>41</v>
      </c>
    </row>
    <row r="10" spans="1:16" x14ac:dyDescent="0.25">
      <c r="A10">
        <v>9</v>
      </c>
      <c r="B10" t="s">
        <v>37</v>
      </c>
      <c r="C10" t="s">
        <v>42</v>
      </c>
      <c r="D10" t="s">
        <v>43</v>
      </c>
    </row>
    <row r="11" spans="1:16" x14ac:dyDescent="0.25">
      <c r="A11">
        <v>10</v>
      </c>
      <c r="B11" t="s">
        <v>37</v>
      </c>
      <c r="C11" t="s">
        <v>44</v>
      </c>
      <c r="D11" t="s">
        <v>45</v>
      </c>
    </row>
    <row r="12" spans="1:16" x14ac:dyDescent="0.25">
      <c r="A12">
        <v>11</v>
      </c>
      <c r="B12" t="s">
        <v>37</v>
      </c>
      <c r="C12" t="s">
        <v>46</v>
      </c>
      <c r="D12" t="s">
        <v>47</v>
      </c>
    </row>
    <row r="13" spans="1:16" x14ac:dyDescent="0.25">
      <c r="A13">
        <v>12</v>
      </c>
      <c r="B13" t="s">
        <v>37</v>
      </c>
      <c r="C13" t="s">
        <v>48</v>
      </c>
      <c r="D13" t="s">
        <v>49</v>
      </c>
    </row>
    <row r="14" spans="1:16" x14ac:dyDescent="0.25">
      <c r="A14">
        <v>13</v>
      </c>
      <c r="B14" t="s">
        <v>50</v>
      </c>
      <c r="C14" t="s">
        <v>51</v>
      </c>
      <c r="D14" t="s">
        <v>52</v>
      </c>
    </row>
    <row r="15" spans="1:16" x14ac:dyDescent="0.25">
      <c r="A15">
        <v>14</v>
      </c>
      <c r="B15" t="s">
        <v>50</v>
      </c>
      <c r="C15" t="s">
        <v>53</v>
      </c>
      <c r="D15" t="s">
        <v>54</v>
      </c>
    </row>
    <row r="16" spans="1:16" x14ac:dyDescent="0.25">
      <c r="A16">
        <v>15</v>
      </c>
      <c r="B16" t="s">
        <v>50</v>
      </c>
      <c r="C16" t="s">
        <v>55</v>
      </c>
      <c r="D16" t="s">
        <v>56</v>
      </c>
    </row>
    <row r="17" spans="1:4" x14ac:dyDescent="0.25">
      <c r="A17">
        <v>16</v>
      </c>
      <c r="B17" t="s">
        <v>50</v>
      </c>
      <c r="C17" t="s">
        <v>57</v>
      </c>
      <c r="D17" t="s">
        <v>58</v>
      </c>
    </row>
    <row r="18" spans="1:4" x14ac:dyDescent="0.25">
      <c r="A18">
        <v>17</v>
      </c>
      <c r="B18" t="s">
        <v>50</v>
      </c>
      <c r="C18" t="s">
        <v>59</v>
      </c>
      <c r="D18" t="s">
        <v>60</v>
      </c>
    </row>
    <row r="19" spans="1:4" x14ac:dyDescent="0.25">
      <c r="A19">
        <v>18</v>
      </c>
      <c r="B19" t="s">
        <v>61</v>
      </c>
      <c r="C19" t="s">
        <v>62</v>
      </c>
      <c r="D19" t="s">
        <v>63</v>
      </c>
    </row>
    <row r="20" spans="1:4" x14ac:dyDescent="0.25">
      <c r="A20">
        <v>19</v>
      </c>
      <c r="B20" t="s">
        <v>61</v>
      </c>
      <c r="C20" t="s">
        <v>64</v>
      </c>
      <c r="D20" t="s">
        <v>65</v>
      </c>
    </row>
    <row r="21" spans="1:4" x14ac:dyDescent="0.25">
      <c r="A21">
        <v>20</v>
      </c>
      <c r="B21" t="s">
        <v>61</v>
      </c>
      <c r="C21" t="s">
        <v>66</v>
      </c>
      <c r="D21" t="s">
        <v>67</v>
      </c>
    </row>
    <row r="22" spans="1:4" x14ac:dyDescent="0.25">
      <c r="A22">
        <v>21</v>
      </c>
      <c r="B22" t="s">
        <v>61</v>
      </c>
      <c r="C22" t="s">
        <v>68</v>
      </c>
      <c r="D22" t="s">
        <v>69</v>
      </c>
    </row>
    <row r="23" spans="1:4" x14ac:dyDescent="0.25">
      <c r="A23">
        <v>22</v>
      </c>
      <c r="B23" t="s">
        <v>70</v>
      </c>
      <c r="C23" t="s">
        <v>71</v>
      </c>
      <c r="D23" t="s">
        <v>72</v>
      </c>
    </row>
    <row r="24" spans="1:4" x14ac:dyDescent="0.25">
      <c r="A24">
        <v>23</v>
      </c>
      <c r="B24" t="s">
        <v>70</v>
      </c>
      <c r="C24" t="s">
        <v>73</v>
      </c>
      <c r="D24" t="s">
        <v>74</v>
      </c>
    </row>
    <row r="25" spans="1:4" x14ac:dyDescent="0.25">
      <c r="A25">
        <v>24</v>
      </c>
      <c r="B25" t="s">
        <v>70</v>
      </c>
      <c r="C25" t="s">
        <v>75</v>
      </c>
      <c r="D25" t="s">
        <v>76</v>
      </c>
    </row>
    <row r="26" spans="1:4" x14ac:dyDescent="0.25">
      <c r="A26">
        <v>25</v>
      </c>
      <c r="B26" t="s">
        <v>70</v>
      </c>
      <c r="C26" t="s">
        <v>77</v>
      </c>
      <c r="D26" t="s">
        <v>78</v>
      </c>
    </row>
    <row r="27" spans="1:4" x14ac:dyDescent="0.25">
      <c r="A27">
        <v>26</v>
      </c>
      <c r="B27" t="s">
        <v>70</v>
      </c>
      <c r="C27" t="s">
        <v>79</v>
      </c>
      <c r="D27" t="s">
        <v>80</v>
      </c>
    </row>
    <row r="28" spans="1:4" x14ac:dyDescent="0.25">
      <c r="A28">
        <v>27</v>
      </c>
      <c r="B28" t="s">
        <v>70</v>
      </c>
      <c r="C28" t="s">
        <v>81</v>
      </c>
      <c r="D28" t="s">
        <v>82</v>
      </c>
    </row>
    <row r="29" spans="1:4" x14ac:dyDescent="0.25">
      <c r="A29">
        <v>28</v>
      </c>
      <c r="B29" t="s">
        <v>83</v>
      </c>
      <c r="C29" t="s">
        <v>84</v>
      </c>
      <c r="D29" t="s">
        <v>85</v>
      </c>
    </row>
    <row r="30" spans="1:4" x14ac:dyDescent="0.25">
      <c r="A30">
        <v>29</v>
      </c>
      <c r="B30" t="s">
        <v>83</v>
      </c>
      <c r="C30" t="s">
        <v>86</v>
      </c>
      <c r="D30" t="s">
        <v>87</v>
      </c>
    </row>
    <row r="31" spans="1:4" x14ac:dyDescent="0.25">
      <c r="A31">
        <v>30</v>
      </c>
      <c r="B31" t="s">
        <v>83</v>
      </c>
      <c r="C31" t="s">
        <v>88</v>
      </c>
      <c r="D31" t="s">
        <v>89</v>
      </c>
    </row>
    <row r="32" spans="1:4" x14ac:dyDescent="0.25">
      <c r="A32">
        <v>31</v>
      </c>
      <c r="B32" t="s">
        <v>83</v>
      </c>
      <c r="C32" t="s">
        <v>90</v>
      </c>
      <c r="D32" t="s">
        <v>91</v>
      </c>
    </row>
    <row r="33" spans="1:4" x14ac:dyDescent="0.25">
      <c r="A33">
        <v>32</v>
      </c>
      <c r="B33" t="s">
        <v>83</v>
      </c>
      <c r="C33" t="s">
        <v>92</v>
      </c>
      <c r="D33" t="s">
        <v>93</v>
      </c>
    </row>
    <row r="34" spans="1:4" x14ac:dyDescent="0.25">
      <c r="A34">
        <v>33</v>
      </c>
      <c r="B34" t="s">
        <v>94</v>
      </c>
      <c r="C34" t="s">
        <v>95</v>
      </c>
      <c r="D34" t="s">
        <v>96</v>
      </c>
    </row>
    <row r="35" spans="1:4" x14ac:dyDescent="0.25">
      <c r="A35">
        <v>34</v>
      </c>
      <c r="B35" t="s">
        <v>94</v>
      </c>
      <c r="C35" t="s">
        <v>97</v>
      </c>
      <c r="D35" t="s">
        <v>98</v>
      </c>
    </row>
    <row r="36" spans="1:4" x14ac:dyDescent="0.25">
      <c r="A36">
        <v>35</v>
      </c>
      <c r="B36" t="s">
        <v>94</v>
      </c>
      <c r="C36" t="s">
        <v>99</v>
      </c>
      <c r="D36" t="s">
        <v>100</v>
      </c>
    </row>
    <row r="37" spans="1:4" x14ac:dyDescent="0.25">
      <c r="A37">
        <v>36</v>
      </c>
      <c r="B37" t="s">
        <v>94</v>
      </c>
      <c r="C37" t="s">
        <v>101</v>
      </c>
      <c r="D37" t="s">
        <v>102</v>
      </c>
    </row>
    <row r="38" spans="1:4" x14ac:dyDescent="0.25">
      <c r="A38">
        <v>37</v>
      </c>
      <c r="B38" t="s">
        <v>94</v>
      </c>
      <c r="C38" t="s">
        <v>103</v>
      </c>
      <c r="D38" t="s">
        <v>104</v>
      </c>
    </row>
    <row r="39" spans="1:4" x14ac:dyDescent="0.25">
      <c r="A39">
        <v>38</v>
      </c>
      <c r="B39" t="s">
        <v>94</v>
      </c>
      <c r="C39" t="s">
        <v>105</v>
      </c>
      <c r="D39" t="s">
        <v>106</v>
      </c>
    </row>
    <row r="40" spans="1:4" x14ac:dyDescent="0.25">
      <c r="A40">
        <v>39</v>
      </c>
      <c r="B40" t="s">
        <v>107</v>
      </c>
      <c r="C40" t="s">
        <v>108</v>
      </c>
      <c r="D40" t="s">
        <v>109</v>
      </c>
    </row>
    <row r="41" spans="1:4" x14ac:dyDescent="0.25">
      <c r="A41">
        <v>40</v>
      </c>
      <c r="B41" t="s">
        <v>107</v>
      </c>
      <c r="C41" t="s">
        <v>110</v>
      </c>
      <c r="D41" t="s">
        <v>111</v>
      </c>
    </row>
    <row r="42" spans="1:4" x14ac:dyDescent="0.25">
      <c r="A42">
        <v>41</v>
      </c>
      <c r="B42" t="s">
        <v>107</v>
      </c>
      <c r="C42" t="s">
        <v>112</v>
      </c>
      <c r="D42" t="s">
        <v>113</v>
      </c>
    </row>
    <row r="43" spans="1:4" x14ac:dyDescent="0.25">
      <c r="A43">
        <v>42</v>
      </c>
      <c r="B43" t="s">
        <v>107</v>
      </c>
      <c r="C43" t="s">
        <v>114</v>
      </c>
      <c r="D43" t="s">
        <v>115</v>
      </c>
    </row>
    <row r="44" spans="1:4" x14ac:dyDescent="0.25">
      <c r="A44">
        <v>43</v>
      </c>
      <c r="B44" t="s">
        <v>107</v>
      </c>
      <c r="C44" t="s">
        <v>116</v>
      </c>
      <c r="D44" t="s">
        <v>117</v>
      </c>
    </row>
    <row r="45" spans="1:4" x14ac:dyDescent="0.25">
      <c r="A45">
        <v>44</v>
      </c>
      <c r="B45" t="s">
        <v>107</v>
      </c>
      <c r="C45" t="s">
        <v>118</v>
      </c>
      <c r="D45" t="s">
        <v>119</v>
      </c>
    </row>
  </sheetData>
  <dataValidations count="1">
    <dataValidation type="whole" allowBlank="1" showInputMessage="1" showErrorMessage="1" sqref="E2:P45" xr:uid="{00000000-0002-0000-0100-000000000000}">
      <formula1>0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sheetData>
    <row r="1" spans="1:5" x14ac:dyDescent="0.25">
      <c r="A1" s="1" t="s">
        <v>1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 x14ac:dyDescent="0.25">
      <c r="B2">
        <f>SUM(Matriz_44_Pontos!E2:E45)</f>
        <v>0</v>
      </c>
      <c r="C2" s="2">
        <f t="shared" ref="C2:C13" si="0">ROUND(B2/220,3)</f>
        <v>0</v>
      </c>
      <c r="D2" t="str">
        <f t="shared" ref="D2:D13" si="1">IF(C2&gt;=0.71,"Alto",IF(C2&gt;=0.41,"Médio","Baixo"))</f>
        <v>Baixo</v>
      </c>
    </row>
    <row r="3" spans="1:5" x14ac:dyDescent="0.25">
      <c r="B3">
        <f>SUM(Matriz_44_Pontos!E2:E45)</f>
        <v>0</v>
      </c>
      <c r="C3" s="2">
        <f t="shared" si="0"/>
        <v>0</v>
      </c>
      <c r="D3" t="str">
        <f t="shared" si="1"/>
        <v>Baixo</v>
      </c>
    </row>
    <row r="4" spans="1:5" x14ac:dyDescent="0.25">
      <c r="B4">
        <f>SUM(Matriz_44_Pontos!E2:E45)</f>
        <v>0</v>
      </c>
      <c r="C4" s="2">
        <f t="shared" si="0"/>
        <v>0</v>
      </c>
      <c r="D4" t="str">
        <f t="shared" si="1"/>
        <v>Baixo</v>
      </c>
    </row>
    <row r="5" spans="1:5" x14ac:dyDescent="0.25">
      <c r="B5">
        <f>SUM(Matriz_44_Pontos!E2:E45)</f>
        <v>0</v>
      </c>
      <c r="C5" s="2">
        <f t="shared" si="0"/>
        <v>0</v>
      </c>
      <c r="D5" t="str">
        <f t="shared" si="1"/>
        <v>Baixo</v>
      </c>
    </row>
    <row r="6" spans="1:5" x14ac:dyDescent="0.25">
      <c r="B6">
        <f>SUM(Matriz_44_Pontos!E2:E45)</f>
        <v>0</v>
      </c>
      <c r="C6" s="2">
        <f t="shared" si="0"/>
        <v>0</v>
      </c>
      <c r="D6" t="str">
        <f t="shared" si="1"/>
        <v>Baixo</v>
      </c>
    </row>
    <row r="7" spans="1:5" x14ac:dyDescent="0.25">
      <c r="B7">
        <f>SUM(Matriz_44_Pontos!E2:E45)</f>
        <v>0</v>
      </c>
      <c r="C7" s="2">
        <f t="shared" si="0"/>
        <v>0</v>
      </c>
      <c r="D7" t="str">
        <f t="shared" si="1"/>
        <v>Baixo</v>
      </c>
    </row>
    <row r="8" spans="1:5" x14ac:dyDescent="0.25">
      <c r="B8">
        <f>SUM(Matriz_44_Pontos!E2:E45)</f>
        <v>0</v>
      </c>
      <c r="C8" s="2">
        <f t="shared" si="0"/>
        <v>0</v>
      </c>
      <c r="D8" t="str">
        <f t="shared" si="1"/>
        <v>Baixo</v>
      </c>
    </row>
    <row r="9" spans="1:5" x14ac:dyDescent="0.25">
      <c r="B9">
        <f>SUM(Matriz_44_Pontos!E2:E45)</f>
        <v>0</v>
      </c>
      <c r="C9" s="2">
        <f t="shared" si="0"/>
        <v>0</v>
      </c>
      <c r="D9" t="str">
        <f t="shared" si="1"/>
        <v>Baixo</v>
      </c>
    </row>
    <row r="10" spans="1:5" x14ac:dyDescent="0.25">
      <c r="B10">
        <f>SUM(Matriz_44_Pontos!E2:E45)</f>
        <v>0</v>
      </c>
      <c r="C10" s="2">
        <f t="shared" si="0"/>
        <v>0</v>
      </c>
      <c r="D10" t="str">
        <f t="shared" si="1"/>
        <v>Baixo</v>
      </c>
    </row>
    <row r="11" spans="1:5" x14ac:dyDescent="0.25">
      <c r="B11">
        <f>SUM(Matriz_44_Pontos!E2:E45)</f>
        <v>0</v>
      </c>
      <c r="C11" s="2">
        <f t="shared" si="0"/>
        <v>0</v>
      </c>
      <c r="D11" t="str">
        <f t="shared" si="1"/>
        <v>Baixo</v>
      </c>
    </row>
    <row r="12" spans="1:5" x14ac:dyDescent="0.25">
      <c r="B12">
        <f>SUM(Matriz_44_Pontos!E2:E45)</f>
        <v>0</v>
      </c>
      <c r="C12" s="2">
        <f t="shared" si="0"/>
        <v>0</v>
      </c>
      <c r="D12" t="str">
        <f t="shared" si="1"/>
        <v>Baixo</v>
      </c>
    </row>
    <row r="13" spans="1:5" x14ac:dyDescent="0.25">
      <c r="B13">
        <f>SUM(Matriz_44_Pontos!E2:E45)</f>
        <v>0</v>
      </c>
      <c r="C13" s="2">
        <f t="shared" si="0"/>
        <v>0</v>
      </c>
      <c r="D13" t="str">
        <f t="shared" si="1"/>
        <v>Baixo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K17" sqref="K17"/>
    </sheetView>
  </sheetViews>
  <sheetFormatPr defaultRowHeight="15" x14ac:dyDescent="0.25"/>
  <cols>
    <col min="1" max="1" width="10" bestFit="1" customWidth="1"/>
    <col min="2" max="2" width="20" bestFit="1" customWidth="1"/>
    <col min="3" max="3" width="20.42578125" bestFit="1" customWidth="1"/>
    <col min="4" max="4" width="12.42578125" bestFit="1" customWidth="1"/>
    <col min="5" max="5" width="22.7109375" bestFit="1" customWidth="1"/>
  </cols>
  <sheetData>
    <row r="1" spans="1:5" x14ac:dyDescent="0.25">
      <c r="A1" s="1" t="s">
        <v>1</v>
      </c>
      <c r="B1" s="1" t="s">
        <v>124</v>
      </c>
      <c r="C1" s="1" t="s">
        <v>125</v>
      </c>
      <c r="D1" s="1" t="s">
        <v>126</v>
      </c>
      <c r="E1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Identificacao</vt:lpstr>
      <vt:lpstr>Matriz_44_Pontos</vt:lpstr>
      <vt:lpstr>Resultados_IMAD</vt:lpstr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Menezes korehisa</dc:creator>
  <cp:lastModifiedBy>Raissa Menezes korehisa</cp:lastModifiedBy>
  <dcterms:created xsi:type="dcterms:W3CDTF">2025-10-22T19:49:28Z</dcterms:created>
  <dcterms:modified xsi:type="dcterms:W3CDTF">2025-10-22T19:52:13Z</dcterms:modified>
</cp:coreProperties>
</file>