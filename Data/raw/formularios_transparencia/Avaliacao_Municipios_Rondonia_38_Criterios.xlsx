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ive\Mestrado em Governança e Transformação digital\Análise de Dados\coleta_de_dados\transparencia-municipal-analise\Data\raw\formularios_transparencia\"/>
    </mc:Choice>
  </mc:AlternateContent>
  <xr:revisionPtr revIDLastSave="0" documentId="13_ncr:1_{B8339CC0-DCEA-43C4-B55C-992C2D479156}" xr6:coauthVersionLast="47" xr6:coauthVersionMax="47" xr10:uidLastSave="{00000000-0000-0000-0000-000000000000}"/>
  <bookViews>
    <workbookView xWindow="25695" yWindow="0" windowWidth="26010" windowHeight="20985" activeTab="1" xr2:uid="{00000000-000D-0000-FFFF-FFFF00000000}"/>
  </bookViews>
  <sheets>
    <sheet name="Matriz_38_Criterios" sheetId="1" r:id="rId1"/>
    <sheet name="Resultados_IMAD" sheetId="2" r:id="rId2"/>
    <sheet name="Evidenc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D4" i="2" s="1"/>
  <c r="C5" i="2"/>
  <c r="C6" i="2"/>
  <c r="C7" i="2"/>
  <c r="C8" i="2"/>
  <c r="C9" i="2"/>
  <c r="C10" i="2"/>
  <c r="C11" i="2"/>
  <c r="C12" i="2"/>
  <c r="D12" i="2" s="1"/>
  <c r="C3" i="2"/>
  <c r="D3" i="2" s="1"/>
  <c r="D11" i="2"/>
  <c r="D10" i="2"/>
  <c r="D9" i="2"/>
  <c r="D8" i="2"/>
  <c r="D7" i="2"/>
  <c r="D6" i="2"/>
  <c r="D5" i="2"/>
</calcChain>
</file>

<file path=xl/sharedStrings.xml><?xml version="1.0" encoding="utf-8"?>
<sst xmlns="http://schemas.openxmlformats.org/spreadsheetml/2006/main" count="221" uniqueCount="187">
  <si>
    <t>Nº</t>
  </si>
  <si>
    <t>Dimensão</t>
  </si>
  <si>
    <t>Critério</t>
  </si>
  <si>
    <t>Descrição</t>
  </si>
  <si>
    <t>Como Avaliar</t>
  </si>
  <si>
    <t>Fundamentação</t>
  </si>
  <si>
    <t>Município 1</t>
  </si>
  <si>
    <t>Município 2</t>
  </si>
  <si>
    <t>Município 3</t>
  </si>
  <si>
    <t>Município 4</t>
  </si>
  <si>
    <t>Município 5</t>
  </si>
  <si>
    <t>Município 6</t>
  </si>
  <si>
    <t>Município 7</t>
  </si>
  <si>
    <t>Município 8</t>
  </si>
  <si>
    <t>Município 9</t>
  </si>
  <si>
    <t>Município 10</t>
  </si>
  <si>
    <t>Acesso e Disponibilidade</t>
  </si>
  <si>
    <t>Acesso público</t>
  </si>
  <si>
    <t>Dados disponíveis sem autenticação ou login</t>
  </si>
  <si>
    <t>Tentar acessar as seções de despesas, receitas e contratos. Verificar se o portal exige login ou cadastro.</t>
  </si>
  <si>
    <t>LAI (Art. 3º, I): A publicidade é o preceito geral. LC 131/2009 (Art. 48, II): Garante liberação ao pleno conhecimento da sociedade.</t>
  </si>
  <si>
    <t>Link funcional</t>
  </si>
  <si>
    <t>Links de download acessíveis e não quebrados</t>
  </si>
  <si>
    <t>Clicar em 5-10 links de download de dados. Verificar se resultam no download do arquivo esperado ou se levam a páginas de erro (404).</t>
  </si>
  <si>
    <t>LAI (Art. 5º): Acesso franqueado mediante procedimentos objetivos e ágeis. Um link quebrado é uma barreira direta ao acesso.</t>
  </si>
  <si>
    <t>Download direto</t>
  </si>
  <si>
    <t>Permite download direto sem captcha</t>
  </si>
  <si>
    <t>Ao tentar baixar um conjunto de dados, verificar se aparece captcha ('Não sou um robô'). O download deve iniciar imediatamente.</t>
  </si>
  <si>
    <t>LAI (Art. 8º, § 3º, II): Facilitar análise das informações. Princípios FAIR (A1): Acesso programático sem barreiras.</t>
  </si>
  <si>
    <t>Transparência ativa</t>
  </si>
  <si>
    <t>Publicação proativa sem necessidade de solicitação</t>
  </si>
  <si>
    <t>Verificar se informações sobre receitas, despesas, contratos e licitações estão publicadas diretamente no portal (não apenas via e-SIC).</t>
  </si>
  <si>
    <t>LAI (Art. 8º): Dever dos órgãos públicos de promover divulgação de informações de interesse coletivo, independentemente de requerimentos.</t>
  </si>
  <si>
    <t>Dados históricos</t>
  </si>
  <si>
    <t>Disponibiliza dados de 3+ anos anteriores</t>
  </si>
  <si>
    <t>Nas seções de despesas e receitas, verificar se há um seletor de ano. Tentar acessar dados de no mínimo 3 anos anteriores.</t>
  </si>
  <si>
    <t>LAI (Art. 7º, VII, b): Garante acesso a prestações de contas relativas a exercícios anteriores.</t>
  </si>
  <si>
    <t>Identificação da fonte</t>
  </si>
  <si>
    <t>Indica o órgão responsável pelos dados</t>
  </si>
  <si>
    <t>Em cada conjunto de dados, procurar por indicação da fonte (ex: 'Fonte: Secretaria Municipal de Finanças').</t>
  </si>
  <si>
    <t>Decreto 8.777/2016 (Art. 3º, VII): Designação clara de responsável pela publicação. Princípios FAIR (R1.2): Proveniência é essencial.</t>
  </si>
  <si>
    <t>Formato e Estrutura</t>
  </si>
  <si>
    <t>Formato aberto</t>
  </si>
  <si>
    <t>Dados em CSV, JSON, XML ou RDF</t>
  </si>
  <si>
    <t>Verificar se os dados estão disponíveis em pelo menos um formato aberto (CSV, JSON, XML, RDF). PDFs não contam.</t>
  </si>
  <si>
    <t>Decreto 8.777/2016 (Art. 3º, V): Dados devem estar em formato aberto, processável por máquina.</t>
  </si>
  <si>
    <t>Estrutura tabular</t>
  </si>
  <si>
    <t>Dados organizados em colunas e linhas</t>
  </si>
  <si>
    <t>Abrir um arquivo CSV ou JSON. Verificar se os dados estão organizados em colunas (campos) e linhas (registros).</t>
  </si>
  <si>
    <t>Princípios FAIR (I1): Dados devem usar linguagem formal e compartilhável. Estrutura tabular é o padrão mínimo.</t>
  </si>
  <si>
    <t>Identificadores únicos</t>
  </si>
  <si>
    <t>Registros possuem um campo de ID único</t>
  </si>
  <si>
    <t>Examinar um arquivo de dados. Verificar se há uma coluna de ID (ex: 'id_empenho', 'codigo_contrato') com valores únicos.</t>
  </si>
  <si>
    <t>Princípios FAIR (F1): Dados devem ter identificadores únicos e persistentes globalmente.</t>
  </si>
  <si>
    <t>Separadores consistentes</t>
  </si>
  <si>
    <t>Arquivos CSV usam um delimitador consistente</t>
  </si>
  <si>
    <t>Abrir um arquivo CSV em editor de texto. Verificar se o delimitador (vírgula, ponto-e-vírgula) é consistente em todas as linhas.</t>
  </si>
  <si>
    <t>Princípios FAIR (I1): Uso de padrões formais. Separadores inconsistentes impedem o processamento automatizado.</t>
  </si>
  <si>
    <t>Codificação padrão</t>
  </si>
  <si>
    <t>Arquivos usam codificação UTF-8</t>
  </si>
  <si>
    <t>Abrir um arquivo CSV em editor de texto. Verificar se caracteres acentuados são exibidos corretamente (UTF-8).</t>
  </si>
  <si>
    <t>Princípios FAIR (I1): Uso de padrões formais. UTF-8 é o padrão universal de codificação de caracteres.</t>
  </si>
  <si>
    <t>Documentação do formato</t>
  </si>
  <si>
    <t>Há metadados que descrevem o formato do arquivo</t>
  </si>
  <si>
    <t>Procurar por um arquivo README, um campo 'formato' nos metadados ou uma descrição do formato na página de download.</t>
  </si>
  <si>
    <t>Princípios FAIR (R1): Metadados devem incluir informações sobre o formato para facilitar o reúso.</t>
  </si>
  <si>
    <t>Metadados e Documentação</t>
  </si>
  <si>
    <t>Dicionário de dados</t>
  </si>
  <si>
    <t>Existe um documento que descreve cada campo</t>
  </si>
  <si>
    <t>Procurar por um arquivo 'dicionario_de_dados.pdf', 'README.txt' ou uma página 'Sobre os Dados' que explique cada coluna.</t>
  </si>
  <si>
    <t>Princípios FAIR (R1): Metadados devem ser ricos e incluir descrições dos atributos.</t>
  </si>
  <si>
    <t>Metadados DCAT/DCAT-BR</t>
  </si>
  <si>
    <t>Utiliza o padrão DCAT/DCAT-BR para metadados</t>
  </si>
  <si>
    <t>Verificar se há um arquivo 'catalog.json' ou metadados estruturados seguindo o padrão DCAT/DCAT-BR.</t>
  </si>
  <si>
    <t>Decreto 8.777/2016: Incentiva uso de padrões de metadados. DCAT é o padrão internacional para catálogos de dados.</t>
  </si>
  <si>
    <t>Responsável pelo conjunto</t>
  </si>
  <si>
    <t>Indica o setor/contato técnico responsável</t>
  </si>
  <si>
    <t>Procurar por um campo 'Responsável', 'Contato' ou 'Setor' nos metadados ou na página de descrição do conjunto de dados.</t>
  </si>
  <si>
    <t>Decreto 8.777/2016 (Art. 3º, VII): Designação clara de responsável pela publicação e manutenção de cada base de dados.</t>
  </si>
  <si>
    <t>Data de publicação</t>
  </si>
  <si>
    <t>Há um campo com a data de última atualização</t>
  </si>
  <si>
    <t>Verificar se há um campo 'Data de atualização', 'Última modificação' ou similar visível na página ou nos metadados.</t>
  </si>
  <si>
    <t>Princípios FAIR (R1.3): Metadados devem incluir informações sobre a temporalidade dos dados.</t>
  </si>
  <si>
    <t>Licença de uso</t>
  </si>
  <si>
    <t>A licença de uso é explícita e aberta (CC BY, CC0)</t>
  </si>
  <si>
    <t>Procurar por uma declaração de licença (ex: 'CC BY 4.0', 'Domínio Público', 'CC0') na página ou nos metadados.</t>
  </si>
  <si>
    <t>Princípios FAIR (R1.1): Dados devem ter licença de uso clara. Decreto 8.777/2016: Incentiva licenças abertas.</t>
  </si>
  <si>
    <t>Frequência e Atualização</t>
  </si>
  <si>
    <t>Periodicidade informada</t>
  </si>
  <si>
    <t>A frequência de atualização é informada</t>
  </si>
  <si>
    <t>Procurar por uma indicação de periodicidade (ex: 'Atualizado diariamente', 'Mensal', 'Tempo real').</t>
  </si>
  <si>
    <t>Princípios FAIR (R1.3): Metadados devem incluir informações sobre a frequência de atualização.</t>
  </si>
  <si>
    <t>Última atualização informada</t>
  </si>
  <si>
    <t>O campo de data de última atualização está preenchido</t>
  </si>
  <si>
    <t>Verificar se o campo de 'Última atualização' está preenchido e se a data é recente (não está desatualizada há meses).</t>
  </si>
  <si>
    <t>LAI (Art. 8º, § 3º, VI): Sítios devem indicar data de publicação e atualização.</t>
  </si>
  <si>
    <t>Histórico de revisões</t>
  </si>
  <si>
    <t>Existe um changelog ou histórico de versões</t>
  </si>
  <si>
    <t>Procurar por um arquivo 'CHANGELOG.txt', 'Histórico de Versões' ou uma seção que documente as mudanças nos dados.</t>
  </si>
  <si>
    <t>Princípios FAIR (R1.2): Metadados devem incluir informações sobre a proveniência e o histórico dos dados.</t>
  </si>
  <si>
    <t>Atualização tempestiva (LC 131)</t>
  </si>
  <si>
    <t>Dados de despesa/receita publicados em D+1</t>
  </si>
  <si>
    <t>Verificar a data do último empenho/pagamento publicado. Comparar com a data atual. Deve ser no máximo D+1 (um dia útil).</t>
  </si>
  <si>
    <t>LC 131/2009 (Art. 48-A, I): Liberação em tempo real de informações pormenorizadas sobre execução orçamentária e financeira.</t>
  </si>
  <si>
    <t>Interoperabilidade e Reúso</t>
  </si>
  <si>
    <t>API pública</t>
  </si>
  <si>
    <t>Existe um endpoint de API (REST, OData, SPARQL)</t>
  </si>
  <si>
    <t>Procurar por uma seção 'API', 'Desenvolvedores' ou 'Dados Abertos'. Verificar se há documentação de endpoints.</t>
  </si>
  <si>
    <t>Decreto 8.777/2016: Incentiva disponibilização via API. Princípios FAIR (A1.1): Protocolos abertos e universais.</t>
  </si>
  <si>
    <t>Padrões de dados</t>
  </si>
  <si>
    <t>Utiliza padrões como OCDS, DCAT-BR, JSON-LD</t>
  </si>
  <si>
    <t>Verificar na documentação se há menção a padrões como OCDS (contratos), DCAT-BR (metadados) ou JSON-LD (dados ligados).</t>
  </si>
  <si>
    <t>Princípios FAIR (I1): Dados devem usar vocabulários que sigam princípios FAIR.</t>
  </si>
  <si>
    <t>Vocabulários controlados</t>
  </si>
  <si>
    <t>Utiliza classificações orçamentárias padronizadas</t>
  </si>
  <si>
    <t>Verificar se os dados usam códigos oficiais da STN (Secretaria do Tesouro Nacional) para classificação da despesa e receita.</t>
  </si>
  <si>
    <t>Princípios FAIR (I2): Dados devem usar vocabulários que sigam princípios FAIR.</t>
  </si>
  <si>
    <t>Identificadores únicos e persistentes</t>
  </si>
  <si>
    <t>Os IDs dos registros são únicos e não mudam</t>
  </si>
  <si>
    <t>Verificar se os dados de fornecedores incluem CNPJ/CPF, se os dados de servidores incluem matrícula, se os dados geográficos usam código IBGE.</t>
  </si>
  <si>
    <t>Reúso declarado</t>
  </si>
  <si>
    <t>O portal incentiva explicitamente o reúso dos dados</t>
  </si>
  <si>
    <t>Procurar por seções como 'Aplicativos', 'Casos de Uso', 'Cidadão Desenvolvedor' que divulguem exemplos de reúso.</t>
  </si>
  <si>
    <t>Princípios FAIR (R): Dados devem ser reutilizáveis. Decreto 8.777/2016: Incentiva o reúso de dados abertos.</t>
  </si>
  <si>
    <t>Conformidade Legal e Transparência</t>
  </si>
  <si>
    <t>Cumprimento da LC 131</t>
  </si>
  <si>
    <t>Publica execução orçamentária em tempo real (D+1)</t>
  </si>
  <si>
    <t>Verificar se há seções para 'Receitas' e 'Despesas' atualizadas em tempo real (D+1) e de forma pormenorizada.</t>
  </si>
  <si>
    <t>LC 131/2009 (Art. 48-A): Determina a liberação em tempo real de informações sobre execução orçamentária e financeira.</t>
  </si>
  <si>
    <t>Granularidade mínima da despesa</t>
  </si>
  <si>
    <t>Despesa detalhada até o nível de empenho individual</t>
  </si>
  <si>
    <t>Na seção de despesas, verificar se é possível consultar empenhos, liquidações e pagamentos com número, credor, valor e data.</t>
  </si>
  <si>
    <t>LC 131/2009 (Art. 48-A, I): Exige informações pormenorizadas sobre execução orçamentária e financeira.</t>
  </si>
  <si>
    <t>Canal de solicitação (e-SIC)</t>
  </si>
  <si>
    <t>Existe um canal para pedidos de informação (e-SIC)</t>
  </si>
  <si>
    <t>Procurar por um link para o 'e-SIC' (Sistema Eletrônico do Serviço de Informação ao Cidadão) ou formulário de pedido.</t>
  </si>
  <si>
    <t>LAI (Art. 10): Qualquer interessado poderá apresentar pedido de acesso a informações aos órgãos e entidades públicas.</t>
  </si>
  <si>
    <t>Declaração de conformidade legal</t>
  </si>
  <si>
    <t>O portal cita as leis de transparência que busca cumprir</t>
  </si>
  <si>
    <t>Procurar por uma página 'Legislação' ou 'Sobre o Portal' que cite explicitamente a LAI, LC 131 e outras normas de transparência.</t>
  </si>
  <si>
    <t>Demonstra consciência do gestor sobre suas obrigações legais e compromisso com a transparência.</t>
  </si>
  <si>
    <t>Acessibilidade e Usabilidade</t>
  </si>
  <si>
    <t>Interface responsiva</t>
  </si>
  <si>
    <t>O portal funciona em dispositivos móveis</t>
  </si>
  <si>
    <t>Acessar o portal em um celular ou redimensionar a janela do navegador. Verificar se o layout se adapta à tela.</t>
  </si>
  <si>
    <t>Princípios FAIR (A): Acessibilidade estendida para usabilidade por humanos em diferentes dispositivos.</t>
  </si>
  <si>
    <t>Busca e filtros</t>
  </si>
  <si>
    <t>Existem funcionalidades de busca e filtros</t>
  </si>
  <si>
    <t>Nas seções de consulta (despesas, contratos), verificar se existem filtros para refinar a busca por data, órgão, fornecedor.</t>
  </si>
  <si>
    <t>LAI (Art. 8º, § 3º, II): Facilitar a análise das informações.</t>
  </si>
  <si>
    <t>Visualização interativa</t>
  </si>
  <si>
    <t>Existem gráficos ou dashboards interativos</t>
  </si>
  <si>
    <t>Procurar por seções de 'Painel de Controle' ou 'Dashboard' com gráficos interativos que permitam explorar os dados visualmente.</t>
  </si>
  <si>
    <t>LAI (Art. 8º, § 3º, II): Facilitar a análise das informações por meio de visualizações.</t>
  </si>
  <si>
    <t>Tempo de carregamento (&lt; 5s)</t>
  </si>
  <si>
    <t>Página inicial carrega em menos de 5 segundos</t>
  </si>
  <si>
    <t>Usar uma ferramenta (Google PageSpeed, GTmetrix) ou cronômetro manual para verificar se a página inicial carrega em &lt; 5s.</t>
  </si>
  <si>
    <t>Princípios FAIR (A): Acessibilidade inclui performance. Páginas lentas são barreiras de acesso.</t>
  </si>
  <si>
    <t>Conformidade com WCAG 2.1 (Nível A)</t>
  </si>
  <si>
    <t>O portal possui declaração ou passa em teste automatizado</t>
  </si>
  <si>
    <t>Usar uma ferramenta online (WAVE, Lighthouse, aXe) para verificar se o portal atende aos critérios mínimos de acessibilidade.</t>
  </si>
  <si>
    <t>Lei 13.146/2015 (LBI): Exige acessibilidade digital. WCAG 2.1 é o padrão internacional.</t>
  </si>
  <si>
    <t>Exportação múltipla</t>
  </si>
  <si>
    <t>Permite exportar dados em múltiplos formatos</t>
  </si>
  <si>
    <t>Ao lado de uma tabela de dados, verificar se há botões de exportação para múltiplos formatos (CSV, XLS, JSON, PDF).</t>
  </si>
  <si>
    <t>Decreto 8.777/2016: Incentiva disponibilização em múltiplos formatos para atender diferentes necessidades.</t>
  </si>
  <si>
    <t>Sustentabilidade e Governança</t>
  </si>
  <si>
    <t>Política de dados abertos</t>
  </si>
  <si>
    <t>Existe um documento de Política de Dados Abertos</t>
  </si>
  <si>
    <t>Procurar por um decreto, portaria ou lei municipal que institua a Política de Dados Abertos do município.</t>
  </si>
  <si>
    <t>Decreto 8.777/2016: Incentiva a criação de Políticas de Dados Abertos nos entes federativos.</t>
  </si>
  <si>
    <t>Plano de dados abertos</t>
  </si>
  <si>
    <t>Existe um Plano de Dados Abertos publicado e atualizado</t>
  </si>
  <si>
    <t>Procurar por um documento chamado 'Plano de Dados Abertos' ou 'PDA' com inventário de dados e cronogramas.</t>
  </si>
  <si>
    <t>Decreto 8.777/2016: Exige que órgãos elaborem Planos de Dados Abertos.</t>
  </si>
  <si>
    <t>Ambiente seguro (HTTPS)</t>
  </si>
  <si>
    <t>O portal utiliza protocolo HTTPS com certificado válido</t>
  </si>
  <si>
    <t>Verificar se o portal usa HTTPS (cadeado na barra de endereço) e se o certificado SSL é válido.</t>
  </si>
  <si>
    <t>Boas práticas de segurança da informação. Protege a integridade dos dados e a privacidade dos usuários.</t>
  </si>
  <si>
    <t>Município</t>
  </si>
  <si>
    <t>Total de Pontos (máx. 38)</t>
  </si>
  <si>
    <t>IMAD (%)</t>
  </si>
  <si>
    <t>Nível de Maturidade</t>
  </si>
  <si>
    <t>Observações</t>
  </si>
  <si>
    <t>Critério (Nº)</t>
  </si>
  <si>
    <t>Evidência (URL/Descrição)</t>
  </si>
  <si>
    <t>Data da Coleta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</si>
</sst>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b/>
      <sz val="10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1"/>
    <xf numFmtId="9" fontId="3" fillId="0" borderId="0" applyFont="0" applyFill="0" applyBorder="0" applyAlignment="0" applyProtection="0"/>
  </cellStyleXfs>
  <cellXfs count="12">
    <xf numFmtId="0" fontId="0" fillId="0" borderId="1" xfId="0"/>
    <xf numFmtId="0" fontId="0" fillId="0" borderId="1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/>
    <xf numFmtId="1" fontId="0" fillId="0" borderId="1" xfId="1" applyNumberFormat="1" applyFont="1" applyBorder="1" applyAlignment="1">
      <alignment horizontal="center" vertical="center"/>
    </xf>
    <xf numFmtId="1" fontId="1" fillId="2" borderId="2" xfId="1" applyNumberFormat="1" applyFont="1" applyFill="1" applyBorder="1" applyAlignment="1">
      <alignment horizontal="center" vertical="center" wrapText="1"/>
    </xf>
    <xf numFmtId="1" fontId="0" fillId="0" borderId="3" xfId="1" applyNumberFormat="1" applyFont="1" applyBorder="1"/>
    <xf numFmtId="1" fontId="0" fillId="0" borderId="1" xfId="1" applyNumberFormat="1" applyFont="1" applyBorder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8DB8-79D1-86D6-5DA8-144A14544977}">
  <dimension ref="A1:AX41"/>
  <sheetViews>
    <sheetView workbookViewId="0">
      <pane xSplit="6" ySplit="1" topLeftCell="G14" activePane="bottomRight" state="frozen"/>
      <selection pane="topRight" activeCell="G1" sqref="G1"/>
      <selection pane="bottomLeft" activeCell="A2" sqref="A2"/>
      <selection pane="bottomRight" activeCell="E34" sqref="E34"/>
    </sheetView>
  </sheetViews>
  <sheetFormatPr defaultColWidth="9.140625" defaultRowHeight="21.75" customHeight="1" x14ac:dyDescent="0.25"/>
  <cols>
    <col min="1" max="1" width="2.85546875" customWidth="1"/>
    <col min="2" max="2" width="31.28515625" customWidth="1"/>
    <col min="3" max="3" width="33.5703125" customWidth="1"/>
    <col min="4" max="6" width="48.5703125" customWidth="1"/>
    <col min="7" max="15" width="10.7109375" customWidth="1"/>
    <col min="16" max="16" width="11.8554687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50" ht="21.75" customHeight="1" x14ac:dyDescent="0.25">
      <c r="A3" s="3">
        <v>1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spans="1:50" ht="21.75" customHeight="1" x14ac:dyDescent="0.25">
      <c r="A4" s="5">
        <v>2</v>
      </c>
      <c r="B4" s="5" t="s">
        <v>16</v>
      </c>
      <c r="C4" s="5" t="s">
        <v>21</v>
      </c>
      <c r="D4" s="5" t="s">
        <v>22</v>
      </c>
      <c r="E4" s="5" t="s">
        <v>23</v>
      </c>
      <c r="F4" s="5" t="s">
        <v>24</v>
      </c>
      <c r="G4" s="6"/>
      <c r="H4" s="6"/>
      <c r="I4" s="6"/>
      <c r="J4" s="6"/>
      <c r="K4" s="6"/>
      <c r="L4" s="6"/>
      <c r="M4" s="6"/>
      <c r="N4" s="6"/>
      <c r="O4" s="6"/>
      <c r="P4" s="6"/>
    </row>
    <row r="5" spans="1:50" ht="21.75" customHeight="1" x14ac:dyDescent="0.25">
      <c r="A5" s="5">
        <v>3</v>
      </c>
      <c r="B5" s="5" t="s">
        <v>16</v>
      </c>
      <c r="C5" s="5" t="s">
        <v>25</v>
      </c>
      <c r="D5" s="5" t="s">
        <v>26</v>
      </c>
      <c r="E5" s="5" t="s">
        <v>27</v>
      </c>
      <c r="F5" s="5" t="s">
        <v>28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1:50" ht="21.75" customHeight="1" x14ac:dyDescent="0.25">
      <c r="A6" s="5">
        <v>4</v>
      </c>
      <c r="B6" s="5" t="s">
        <v>16</v>
      </c>
      <c r="C6" s="5" t="s">
        <v>29</v>
      </c>
      <c r="D6" s="5" t="s">
        <v>30</v>
      </c>
      <c r="E6" s="5" t="s">
        <v>31</v>
      </c>
      <c r="F6" s="5" t="s">
        <v>32</v>
      </c>
      <c r="G6" s="6"/>
      <c r="H6" s="6"/>
      <c r="I6" s="6"/>
      <c r="J6" s="6"/>
      <c r="K6" s="6"/>
      <c r="L6" s="6"/>
      <c r="M6" s="6"/>
      <c r="N6" s="6"/>
      <c r="O6" s="6"/>
      <c r="P6" s="6"/>
    </row>
    <row r="7" spans="1:50" ht="21.75" customHeight="1" x14ac:dyDescent="0.25">
      <c r="A7" s="5">
        <v>5</v>
      </c>
      <c r="B7" s="5" t="s">
        <v>16</v>
      </c>
      <c r="C7" s="5" t="s">
        <v>33</v>
      </c>
      <c r="D7" s="5" t="s">
        <v>34</v>
      </c>
      <c r="E7" s="5" t="s">
        <v>35</v>
      </c>
      <c r="F7" s="5" t="s">
        <v>36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50" ht="21.75" customHeight="1" x14ac:dyDescent="0.25">
      <c r="A8" s="5">
        <v>6</v>
      </c>
      <c r="B8" s="5" t="s">
        <v>16</v>
      </c>
      <c r="C8" s="5" t="s">
        <v>37</v>
      </c>
      <c r="D8" s="5" t="s">
        <v>38</v>
      </c>
      <c r="E8" s="5" t="s">
        <v>39</v>
      </c>
      <c r="F8" s="5" t="s">
        <v>40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50" ht="21.75" customHeight="1" x14ac:dyDescent="0.25">
      <c r="A9" s="3">
        <v>7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spans="1:50" ht="21.75" customHeight="1" x14ac:dyDescent="0.25">
      <c r="A10" s="5">
        <v>8</v>
      </c>
      <c r="B10" s="5" t="s">
        <v>41</v>
      </c>
      <c r="C10" s="5" t="s">
        <v>46</v>
      </c>
      <c r="D10" s="5" t="s">
        <v>47</v>
      </c>
      <c r="E10" s="5" t="s">
        <v>48</v>
      </c>
      <c r="F10" s="5" t="s">
        <v>49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50" ht="21.75" customHeight="1" x14ac:dyDescent="0.25">
      <c r="A11" s="5">
        <v>9</v>
      </c>
      <c r="B11" s="5" t="s">
        <v>41</v>
      </c>
      <c r="C11" s="5" t="s">
        <v>50</v>
      </c>
      <c r="D11" s="5" t="s">
        <v>51</v>
      </c>
      <c r="E11" s="5" t="s">
        <v>52</v>
      </c>
      <c r="F11" s="5" t="s">
        <v>53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50" ht="21.75" customHeight="1" x14ac:dyDescent="0.25">
      <c r="A12" s="5">
        <v>10</v>
      </c>
      <c r="B12" s="5" t="s">
        <v>41</v>
      </c>
      <c r="C12" s="5" t="s">
        <v>54</v>
      </c>
      <c r="D12" s="5" t="s">
        <v>55</v>
      </c>
      <c r="E12" s="5" t="s">
        <v>56</v>
      </c>
      <c r="F12" s="5" t="s">
        <v>57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50" ht="21.75" customHeight="1" x14ac:dyDescent="0.25">
      <c r="A13" s="5">
        <v>11</v>
      </c>
      <c r="B13" s="5" t="s">
        <v>41</v>
      </c>
      <c r="C13" s="5" t="s">
        <v>58</v>
      </c>
      <c r="D13" s="5" t="s">
        <v>59</v>
      </c>
      <c r="E13" s="5" t="s">
        <v>60</v>
      </c>
      <c r="F13" s="5" t="s">
        <v>61</v>
      </c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50" ht="21.75" customHeight="1" x14ac:dyDescent="0.25">
      <c r="A14" s="5">
        <v>12</v>
      </c>
      <c r="B14" s="5" t="s">
        <v>41</v>
      </c>
      <c r="C14" s="5" t="s">
        <v>62</v>
      </c>
      <c r="D14" s="5" t="s">
        <v>63</v>
      </c>
      <c r="E14" s="5" t="s">
        <v>64</v>
      </c>
      <c r="F14" s="5" t="s">
        <v>65</v>
      </c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50" ht="21.75" customHeight="1" x14ac:dyDescent="0.25">
      <c r="A15" s="3">
        <v>13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70</v>
      </c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50" ht="21.75" customHeight="1" x14ac:dyDescent="0.25">
      <c r="A16" s="5">
        <v>14</v>
      </c>
      <c r="B16" s="5" t="s">
        <v>66</v>
      </c>
      <c r="C16" s="5" t="s">
        <v>71</v>
      </c>
      <c r="D16" s="5" t="s">
        <v>72</v>
      </c>
      <c r="E16" s="5" t="s">
        <v>73</v>
      </c>
      <c r="F16" s="5" t="s">
        <v>74</v>
      </c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21.75" customHeight="1" x14ac:dyDescent="0.25">
      <c r="A17" s="5">
        <v>15</v>
      </c>
      <c r="B17" s="5" t="s">
        <v>66</v>
      </c>
      <c r="C17" s="5" t="s">
        <v>75</v>
      </c>
      <c r="D17" s="5" t="s">
        <v>76</v>
      </c>
      <c r="E17" s="5" t="s">
        <v>77</v>
      </c>
      <c r="F17" s="5" t="s">
        <v>78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21.75" customHeight="1" x14ac:dyDescent="0.25">
      <c r="A18" s="5">
        <v>16</v>
      </c>
      <c r="B18" s="5" t="s">
        <v>66</v>
      </c>
      <c r="C18" s="5" t="s">
        <v>79</v>
      </c>
      <c r="D18" s="5" t="s">
        <v>80</v>
      </c>
      <c r="E18" s="5" t="s">
        <v>81</v>
      </c>
      <c r="F18" s="5" t="s">
        <v>82</v>
      </c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21.75" customHeight="1" x14ac:dyDescent="0.25">
      <c r="A19" s="5">
        <v>17</v>
      </c>
      <c r="B19" s="5" t="s">
        <v>66</v>
      </c>
      <c r="C19" s="5" t="s">
        <v>83</v>
      </c>
      <c r="D19" s="5" t="s">
        <v>84</v>
      </c>
      <c r="E19" s="5" t="s">
        <v>85</v>
      </c>
      <c r="F19" s="5" t="s">
        <v>86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21.75" customHeight="1" x14ac:dyDescent="0.25">
      <c r="A20" s="3">
        <v>18</v>
      </c>
      <c r="B20" s="3" t="s">
        <v>87</v>
      </c>
      <c r="C20" s="3" t="s">
        <v>88</v>
      </c>
      <c r="D20" s="3" t="s">
        <v>89</v>
      </c>
      <c r="E20" s="3" t="s">
        <v>90</v>
      </c>
      <c r="F20" s="3" t="s">
        <v>91</v>
      </c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1.75" customHeight="1" x14ac:dyDescent="0.25">
      <c r="A21" s="5">
        <v>19</v>
      </c>
      <c r="B21" s="5" t="s">
        <v>87</v>
      </c>
      <c r="C21" s="5" t="s">
        <v>92</v>
      </c>
      <c r="D21" s="5" t="s">
        <v>93</v>
      </c>
      <c r="E21" s="5" t="s">
        <v>94</v>
      </c>
      <c r="F21" s="5" t="s">
        <v>95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21.75" customHeight="1" x14ac:dyDescent="0.25">
      <c r="A22" s="5">
        <v>20</v>
      </c>
      <c r="B22" s="5" t="s">
        <v>87</v>
      </c>
      <c r="C22" s="5" t="s">
        <v>96</v>
      </c>
      <c r="D22" s="5" t="s">
        <v>97</v>
      </c>
      <c r="E22" s="5" t="s">
        <v>98</v>
      </c>
      <c r="F22" s="5" t="s">
        <v>99</v>
      </c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21.75" customHeight="1" x14ac:dyDescent="0.25">
      <c r="A23" s="5">
        <v>21</v>
      </c>
      <c r="B23" s="5" t="s">
        <v>87</v>
      </c>
      <c r="C23" s="5" t="s">
        <v>100</v>
      </c>
      <c r="D23" s="5" t="s">
        <v>101</v>
      </c>
      <c r="E23" s="5" t="s">
        <v>102</v>
      </c>
      <c r="F23" s="5" t="s">
        <v>103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21.75" customHeight="1" x14ac:dyDescent="0.25">
      <c r="A24" s="3">
        <v>22</v>
      </c>
      <c r="B24" s="3" t="s">
        <v>104</v>
      </c>
      <c r="C24" s="3" t="s">
        <v>105</v>
      </c>
      <c r="D24" s="3" t="s">
        <v>106</v>
      </c>
      <c r="E24" s="3" t="s">
        <v>107</v>
      </c>
      <c r="F24" s="3" t="s">
        <v>108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1.75" customHeight="1" x14ac:dyDescent="0.25">
      <c r="A25" s="5">
        <v>23</v>
      </c>
      <c r="B25" s="5" t="s">
        <v>104</v>
      </c>
      <c r="C25" s="5" t="s">
        <v>109</v>
      </c>
      <c r="D25" s="5" t="s">
        <v>110</v>
      </c>
      <c r="E25" s="5" t="s">
        <v>111</v>
      </c>
      <c r="F25" s="5" t="s">
        <v>112</v>
      </c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1.75" customHeight="1" x14ac:dyDescent="0.25">
      <c r="A26" s="5">
        <v>24</v>
      </c>
      <c r="B26" s="5" t="s">
        <v>104</v>
      </c>
      <c r="C26" s="5" t="s">
        <v>113</v>
      </c>
      <c r="D26" s="5" t="s">
        <v>114</v>
      </c>
      <c r="E26" s="5" t="s">
        <v>115</v>
      </c>
      <c r="F26" s="5" t="s">
        <v>116</v>
      </c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ht="21.75" customHeight="1" x14ac:dyDescent="0.25">
      <c r="A27" s="5">
        <v>25</v>
      </c>
      <c r="B27" s="5" t="s">
        <v>104</v>
      </c>
      <c r="C27" s="5" t="s">
        <v>117</v>
      </c>
      <c r="D27" s="5" t="s">
        <v>118</v>
      </c>
      <c r="E27" s="5" t="s">
        <v>119</v>
      </c>
      <c r="F27" s="5" t="s">
        <v>53</v>
      </c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21.75" customHeight="1" x14ac:dyDescent="0.25">
      <c r="A28" s="5">
        <v>26</v>
      </c>
      <c r="B28" s="5" t="s">
        <v>104</v>
      </c>
      <c r="C28" s="5" t="s">
        <v>120</v>
      </c>
      <c r="D28" s="5" t="s">
        <v>121</v>
      </c>
      <c r="E28" s="5" t="s">
        <v>122</v>
      </c>
      <c r="F28" s="5" t="s">
        <v>123</v>
      </c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 ht="21.75" customHeight="1" x14ac:dyDescent="0.25">
      <c r="A29" s="3">
        <v>27</v>
      </c>
      <c r="B29" s="3" t="s">
        <v>124</v>
      </c>
      <c r="C29" s="3" t="s">
        <v>125</v>
      </c>
      <c r="D29" s="3" t="s">
        <v>126</v>
      </c>
      <c r="E29" s="3" t="s">
        <v>127</v>
      </c>
      <c r="F29" s="3" t="s">
        <v>128</v>
      </c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1.75" customHeight="1" x14ac:dyDescent="0.25">
      <c r="A30" s="5">
        <v>28</v>
      </c>
      <c r="B30" s="5" t="s">
        <v>124</v>
      </c>
      <c r="C30" s="5" t="s">
        <v>129</v>
      </c>
      <c r="D30" s="5" t="s">
        <v>130</v>
      </c>
      <c r="E30" s="5" t="s">
        <v>131</v>
      </c>
      <c r="F30" s="5" t="s">
        <v>132</v>
      </c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 ht="21.75" customHeight="1" x14ac:dyDescent="0.25">
      <c r="A31" s="5">
        <v>29</v>
      </c>
      <c r="B31" s="5" t="s">
        <v>124</v>
      </c>
      <c r="C31" s="5" t="s">
        <v>133</v>
      </c>
      <c r="D31" s="5" t="s">
        <v>134</v>
      </c>
      <c r="E31" s="5" t="s">
        <v>135</v>
      </c>
      <c r="F31" s="5" t="s">
        <v>136</v>
      </c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21.75" customHeight="1" x14ac:dyDescent="0.25">
      <c r="A32" s="5">
        <v>30</v>
      </c>
      <c r="B32" s="5" t="s">
        <v>124</v>
      </c>
      <c r="C32" s="5" t="s">
        <v>137</v>
      </c>
      <c r="D32" s="5" t="s">
        <v>138</v>
      </c>
      <c r="E32" s="5" t="s">
        <v>139</v>
      </c>
      <c r="F32" s="5" t="s">
        <v>140</v>
      </c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 ht="21.75" customHeight="1" x14ac:dyDescent="0.25">
      <c r="A33" s="3">
        <v>31</v>
      </c>
      <c r="B33" s="3" t="s">
        <v>141</v>
      </c>
      <c r="C33" s="3" t="s">
        <v>142</v>
      </c>
      <c r="D33" s="3" t="s">
        <v>143</v>
      </c>
      <c r="E33" s="3" t="s">
        <v>144</v>
      </c>
      <c r="F33" s="3" t="s">
        <v>145</v>
      </c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1.75" customHeight="1" x14ac:dyDescent="0.25">
      <c r="A34" s="5">
        <v>32</v>
      </c>
      <c r="B34" s="5" t="s">
        <v>141</v>
      </c>
      <c r="C34" s="5" t="s">
        <v>146</v>
      </c>
      <c r="D34" s="5" t="s">
        <v>147</v>
      </c>
      <c r="E34" s="5" t="s">
        <v>148</v>
      </c>
      <c r="F34" s="5" t="s">
        <v>149</v>
      </c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ht="21.75" customHeight="1" x14ac:dyDescent="0.25">
      <c r="A35" s="5">
        <v>33</v>
      </c>
      <c r="B35" s="5" t="s">
        <v>141</v>
      </c>
      <c r="C35" s="5" t="s">
        <v>150</v>
      </c>
      <c r="D35" s="5" t="s">
        <v>151</v>
      </c>
      <c r="E35" s="5" t="s">
        <v>152</v>
      </c>
      <c r="F35" s="5" t="s">
        <v>153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21.75" customHeight="1" x14ac:dyDescent="0.25">
      <c r="A36" s="5">
        <v>34</v>
      </c>
      <c r="B36" s="5" t="s">
        <v>141</v>
      </c>
      <c r="C36" s="5" t="s">
        <v>154</v>
      </c>
      <c r="D36" s="5" t="s">
        <v>155</v>
      </c>
      <c r="E36" s="5" t="s">
        <v>156</v>
      </c>
      <c r="F36" s="5" t="s">
        <v>157</v>
      </c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 ht="21.75" customHeight="1" x14ac:dyDescent="0.25">
      <c r="A37" s="5">
        <v>35</v>
      </c>
      <c r="B37" s="5" t="s">
        <v>141</v>
      </c>
      <c r="C37" s="5" t="s">
        <v>158</v>
      </c>
      <c r="D37" s="5" t="s">
        <v>159</v>
      </c>
      <c r="E37" s="5" t="s">
        <v>160</v>
      </c>
      <c r="F37" s="5" t="s">
        <v>161</v>
      </c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 ht="21.75" customHeight="1" x14ac:dyDescent="0.25">
      <c r="A38" s="5">
        <v>36</v>
      </c>
      <c r="B38" s="5" t="s">
        <v>141</v>
      </c>
      <c r="C38" s="5" t="s">
        <v>162</v>
      </c>
      <c r="D38" s="5" t="s">
        <v>163</v>
      </c>
      <c r="E38" s="5" t="s">
        <v>164</v>
      </c>
      <c r="F38" s="5" t="s">
        <v>165</v>
      </c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 ht="21.75" customHeight="1" x14ac:dyDescent="0.25">
      <c r="A39" s="3">
        <v>37</v>
      </c>
      <c r="B39" s="3" t="s">
        <v>166</v>
      </c>
      <c r="C39" s="3" t="s">
        <v>167</v>
      </c>
      <c r="D39" s="3" t="s">
        <v>168</v>
      </c>
      <c r="E39" s="3" t="s">
        <v>169</v>
      </c>
      <c r="F39" s="3" t="s">
        <v>170</v>
      </c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1.75" customHeight="1" x14ac:dyDescent="0.25">
      <c r="A40" s="5">
        <v>38</v>
      </c>
      <c r="B40" s="5" t="s">
        <v>166</v>
      </c>
      <c r="C40" s="5" t="s">
        <v>171</v>
      </c>
      <c r="D40" s="5" t="s">
        <v>172</v>
      </c>
      <c r="E40" s="5" t="s">
        <v>173</v>
      </c>
      <c r="F40" s="5" t="s">
        <v>174</v>
      </c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 ht="21.75" customHeight="1" x14ac:dyDescent="0.25">
      <c r="A41" s="5">
        <v>39</v>
      </c>
      <c r="B41" s="5" t="s">
        <v>166</v>
      </c>
      <c r="C41" s="5" t="s">
        <v>175</v>
      </c>
      <c r="D41" s="5" t="s">
        <v>176</v>
      </c>
      <c r="E41" s="5" t="s">
        <v>177</v>
      </c>
      <c r="F41" s="5" t="s">
        <v>178</v>
      </c>
      <c r="G41" s="6"/>
      <c r="H41" s="6"/>
      <c r="I41" s="6"/>
      <c r="J41" s="6"/>
      <c r="K41" s="6"/>
      <c r="L41" s="6"/>
      <c r="M41" s="6"/>
      <c r="N41" s="6"/>
      <c r="O41" s="6"/>
      <c r="P41" s="6"/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C0F5-0DC8-B038-DB35-624126B74748}">
  <dimension ref="A1:AX12"/>
  <sheetViews>
    <sheetView tabSelected="1" workbookViewId="0">
      <pane ySplit="1" topLeftCell="A2" activePane="bottomLeft" state="frozen"/>
      <selection pane="bottomLeft" activeCell="B18" sqref="B18"/>
    </sheetView>
  </sheetViews>
  <sheetFormatPr defaultColWidth="9.140625" defaultRowHeight="21.75" customHeight="1" x14ac:dyDescent="0.25"/>
  <cols>
    <col min="1" max="1" width="9.28515625" customWidth="1"/>
    <col min="2" max="2" width="22.42578125" style="11" customWidth="1"/>
    <col min="3" max="3" width="8.7109375" customWidth="1"/>
    <col min="4" max="4" width="18.28515625" customWidth="1"/>
    <col min="5" max="5" width="11.5703125" customWidth="1"/>
  </cols>
  <sheetData>
    <row r="1" spans="1:50" ht="21.75" customHeight="1" x14ac:dyDescent="0.25">
      <c r="A1" s="1"/>
      <c r="B1" s="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2" t="s">
        <v>179</v>
      </c>
      <c r="B2" s="9" t="s">
        <v>180</v>
      </c>
      <c r="C2" s="2" t="s">
        <v>181</v>
      </c>
      <c r="D2" s="2" t="s">
        <v>182</v>
      </c>
      <c r="E2" s="2" t="s">
        <v>183</v>
      </c>
    </row>
    <row r="3" spans="1:50" ht="21.75" customHeight="1" x14ac:dyDescent="0.25">
      <c r="A3" s="7"/>
      <c r="B3" s="10">
        <v>0</v>
      </c>
      <c r="C3" s="7">
        <f>ROUND(B3/78,3)</f>
        <v>0</v>
      </c>
      <c r="D3" s="7" t="str">
        <f t="shared" ref="D3:D12" si="0">IF(C3&gt;=0.71,"Alto",IF(C3&gt;=0.41,"Médio","Baixo"))</f>
        <v>Baixo</v>
      </c>
      <c r="E3" s="7"/>
    </row>
    <row r="4" spans="1:50" ht="21.75" customHeight="1" x14ac:dyDescent="0.25">
      <c r="A4" s="7"/>
      <c r="B4" s="10">
        <v>0</v>
      </c>
      <c r="C4" s="7">
        <f t="shared" ref="C4:C12" si="1">ROUND(B4/78,3)</f>
        <v>0</v>
      </c>
      <c r="D4" s="7" t="str">
        <f t="shared" si="0"/>
        <v>Baixo</v>
      </c>
      <c r="E4" s="7"/>
    </row>
    <row r="5" spans="1:50" ht="21.75" customHeight="1" x14ac:dyDescent="0.25">
      <c r="A5" s="7"/>
      <c r="B5" s="10">
        <v>0</v>
      </c>
      <c r="C5" s="7">
        <f t="shared" si="1"/>
        <v>0</v>
      </c>
      <c r="D5" s="7" t="str">
        <f t="shared" si="0"/>
        <v>Baixo</v>
      </c>
      <c r="E5" s="7"/>
    </row>
    <row r="6" spans="1:50" ht="21.75" customHeight="1" x14ac:dyDescent="0.25">
      <c r="A6" s="7"/>
      <c r="B6" s="10">
        <v>0</v>
      </c>
      <c r="C6" s="7">
        <f t="shared" si="1"/>
        <v>0</v>
      </c>
      <c r="D6" s="7" t="str">
        <f t="shared" si="0"/>
        <v>Baixo</v>
      </c>
      <c r="E6" s="7"/>
    </row>
    <row r="7" spans="1:50" ht="21.75" customHeight="1" x14ac:dyDescent="0.25">
      <c r="A7" s="7"/>
      <c r="B7" s="10">
        <v>0</v>
      </c>
      <c r="C7" s="7">
        <f t="shared" si="1"/>
        <v>0</v>
      </c>
      <c r="D7" s="7" t="str">
        <f t="shared" si="0"/>
        <v>Baixo</v>
      </c>
      <c r="E7" s="7"/>
    </row>
    <row r="8" spans="1:50" ht="21.75" customHeight="1" x14ac:dyDescent="0.25">
      <c r="A8" s="7"/>
      <c r="B8" s="10">
        <v>0</v>
      </c>
      <c r="C8" s="7">
        <f t="shared" si="1"/>
        <v>0</v>
      </c>
      <c r="D8" s="7" t="str">
        <f t="shared" si="0"/>
        <v>Baixo</v>
      </c>
      <c r="E8" s="7"/>
    </row>
    <row r="9" spans="1:50" ht="21.75" customHeight="1" x14ac:dyDescent="0.25">
      <c r="A9" s="7"/>
      <c r="B9" s="10">
        <v>0</v>
      </c>
      <c r="C9" s="7">
        <f t="shared" si="1"/>
        <v>0</v>
      </c>
      <c r="D9" s="7" t="str">
        <f t="shared" si="0"/>
        <v>Baixo</v>
      </c>
      <c r="E9" s="7"/>
    </row>
    <row r="10" spans="1:50" ht="21.75" customHeight="1" x14ac:dyDescent="0.25">
      <c r="A10" s="7"/>
      <c r="B10" s="10">
        <v>0</v>
      </c>
      <c r="C10" s="7">
        <f t="shared" si="1"/>
        <v>0</v>
      </c>
      <c r="D10" s="7" t="str">
        <f t="shared" si="0"/>
        <v>Baixo</v>
      </c>
      <c r="E10" s="7"/>
    </row>
    <row r="11" spans="1:50" ht="21.75" customHeight="1" x14ac:dyDescent="0.25">
      <c r="A11" s="7"/>
      <c r="B11" s="10">
        <v>0</v>
      </c>
      <c r="C11" s="7">
        <f t="shared" si="1"/>
        <v>0</v>
      </c>
      <c r="D11" s="7" t="str">
        <f t="shared" si="0"/>
        <v>Baixo</v>
      </c>
      <c r="E11" s="7"/>
    </row>
    <row r="12" spans="1:50" ht="21.75" customHeight="1" x14ac:dyDescent="0.25">
      <c r="A12" s="7"/>
      <c r="B12" s="10">
        <v>0</v>
      </c>
      <c r="C12" s="7">
        <f t="shared" si="1"/>
        <v>0</v>
      </c>
      <c r="D12" s="7" t="str">
        <f t="shared" si="0"/>
        <v>Baixo</v>
      </c>
      <c r="E12" s="7"/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0066-281C-F3AB-D198-97A029211848}">
  <dimension ref="A1:E2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25" customWidth="1"/>
    <col min="2" max="2" width="15" customWidth="1"/>
    <col min="3" max="3" width="60" customWidth="1"/>
    <col min="4" max="4" width="15" customWidth="1"/>
    <col min="5" max="5" width="40" customWidth="1"/>
  </cols>
  <sheetData>
    <row r="1" spans="1:5" ht="15" customHeight="1" x14ac:dyDescent="0.25">
      <c r="A1" s="1"/>
      <c r="B1" s="1"/>
      <c r="C1" s="1"/>
      <c r="D1" s="1"/>
      <c r="E1" s="1"/>
    </row>
    <row r="2" spans="1:5" ht="15" customHeight="1" x14ac:dyDescent="0.25">
      <c r="A2" s="2" t="s">
        <v>179</v>
      </c>
      <c r="B2" s="2" t="s">
        <v>184</v>
      </c>
      <c r="C2" s="2" t="s">
        <v>185</v>
      </c>
      <c r="D2" s="2" t="s">
        <v>186</v>
      </c>
      <c r="E2" s="2" t="s">
        <v>183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Matriz_38_Criterios</vt:lpstr>
      <vt:lpstr>Resultados_IMAD</vt:lpstr>
      <vt:lpstr>Evidencias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Raissa Menezes korehisa</cp:lastModifiedBy>
  <dcterms:created xsi:type="dcterms:W3CDTF">2025-11-23T01:34:34Z</dcterms:created>
  <dcterms:modified xsi:type="dcterms:W3CDTF">2025-11-23T02:49:04Z</dcterms:modified>
</cp:coreProperties>
</file>